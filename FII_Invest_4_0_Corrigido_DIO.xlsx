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5c92b654a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af55a26fd003421b"/>
    <x:sheet xmlns:r="http://schemas.openxmlformats.org/officeDocument/2006/relationships" name="Configuracoes" sheetId="2" r:id="R99696d7577344fea"/>
    <x:sheet xmlns:r="http://schemas.openxmlformats.org/officeDocument/2006/relationships" name="Perfis" sheetId="3" r:id="R2e9e4663e76a41b5"/>
    <x:sheet xmlns:r="http://schemas.openxmlformats.org/officeDocument/2006/relationships" name="Projecoes" sheetId="4" r:id="R4043fbfd878142e0"/>
    <x:sheet xmlns:r="http://schemas.openxmlformats.org/officeDocument/2006/relationships" name="Guia" sheetId="5" r:id="Ra6f793588621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;[Red](&quot;R$&quot; #,##0.00);&quot;-&quot;"/>
    <x:numFmt numFmtId="201" formatCode="0.00%;[Red](0.00%);&quot;-&quot;"/>
    <x:numFmt numFmtId="202" formatCode="#,##0;[Red](#,##0);&quot;-&quot;"/>
  </x:numFmts>
  <x:fonts count="13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2"/>
      <x:color rgb="FF0000FF"/>
      <x:name val="Carlito"/>
    </x:font>
    <x:font>
      <x:b/>
      <x:sz val="11"/>
      <x:color rgb="FF000000"/>
      <x:name val="Carlito"/>
    </x:font>
    <x:font>
      <x:sz val="11"/>
      <x:color rgb="FF1F3045"/>
      <x:name val="Carlito"/>
    </x:font>
    <x:font>
      <x:b/>
      <x:sz val="11"/>
      <x:color rgb="FF152942"/>
      <x:name val="Carlito"/>
    </x:font>
    <x:font>
      <x:sz val="11"/>
      <x:color rgb="FF0000FF"/>
      <x:name val="Carlito"/>
    </x:font>
    <x:font>
      <x:b/>
      <x:sz val="11"/>
      <x:color rgb="FF008000"/>
      <x:name val="Carlito"/>
    </x:font>
    <x:font>
      <x:b/>
      <x:sz val="12"/>
      <x:color rgb="FF152942"/>
      <x:name val="Carlito"/>
    </x:font>
    <x:font>
      <x:b/>
      <x:sz val="11"/>
      <x:color rgb="FF1F3045"/>
      <x:name val="Carlito"/>
    </x:font>
    <x:font>
      <x:sz val="11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2942"/>
      </x:patternFill>
    </x:fill>
    <x:fill>
      <x:patternFill patternType="solid">
        <x:fgColor rgb="FF087E8B"/>
      </x:patternFill>
    </x:fill>
    <x:fill>
      <x:patternFill patternType="solid">
        <x:fgColor rgb="FFFFF0B3"/>
      </x:patternFill>
    </x:fill>
    <x:fill>
      <x:patternFill patternType="solid">
        <x:fgColor rgb="FFEAF2F5"/>
      </x:patternFill>
    </x:fill>
    <x:fill>
      <x:patternFill patternType="solid">
        <x:fgColor rgb="FFDDF5EB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2" fontId="4" fillId="4" borderId="0" xfId="0" applyNumberFormat="1" applyFont="1" applyFill="1" applyBorder="1"/>
    <x:xf numFmtId="202" fontId="4" fillId="4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8" fillId="4" borderId="0" xfId="0" applyNumberFormat="1" applyFont="1" applyFill="1" applyBorder="1"/>
    <x:xf numFmtId="201" fontId="0" fillId="4" borderId="1" xfId="0" applyNumberFormat="1" applyFont="1" applyFill="1" applyBorder="1"/>
    <x:xf numFmtId="201" fontId="8" fillId="4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200" fontId="9" fillId="5" borderId="0" xfId="0" applyNumberFormat="1" applyFont="1" applyFill="1" applyBorder="1"/>
    <x:xf numFmtId="200" fontId="9" fillId="5" borderId="1" xfId="0" applyNumberFormat="1" applyFont="1" applyFill="1" applyBorder="1"/>
    <x:xf numFmtId="202" fontId="9" fillId="5" borderId="0" xfId="0" applyNumberFormat="1" applyFont="1" applyFill="1" applyBorder="1"/>
    <x:xf numFmtId="202" fontId="9" fillId="5" borderId="1" xfId="0" applyNumberFormat="1" applyFont="1" applyFill="1" applyBorder="1"/>
    <x:xf numFmtId="201" fontId="9" fillId="5" borderId="0" xfId="0" applyNumberFormat="1" applyFont="1" applyFill="1" applyBorder="1"/>
    <x:xf numFmtId="201" fontId="9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0" fontId="6" fillId="6" borderId="0" xfId="0" applyNumberFormat="1" applyFont="1" applyFill="1" applyBorder="1"/>
    <x:xf numFmtId="200" fontId="5" fillId="6" borderId="0" xfId="0" applyNumberFormat="1" applyFont="1" applyFill="1" applyBorder="1"/>
    <x:xf numFmtId="0" fontId="10" fillId="6" borderId="0" xfId="0" applyNumberFormat="1" applyFont="1" applyFill="1" applyBorder="1"/>
    <x:xf numFmtId="200" fontId="10" fillId="6" borderId="0" xfId="0" applyNumberFormat="1" applyFont="1" applyFill="1" applyBorder="1"/>
    <x:xf numFmtId="0" fontId="6" fillId="6" borderId="1" xfId="0" applyNumberFormat="1" applyFont="1" applyFill="1" applyBorder="1"/>
    <x:xf numFmtId="200" fontId="5" fillId="6" borderId="1" xfId="0" applyNumberFormat="1" applyFont="1" applyFill="1" applyBorder="1"/>
    <x:xf numFmtId="0" fontId="10" fillId="6" borderId="1" xfId="0" applyNumberFormat="1" applyFont="1" applyFill="1" applyBorder="1"/>
    <x:xf numFmtId="200" fontId="1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1" xfId="0" applyNumberFormat="1" applyFont="1" applyFill="1" applyBorder="1"/>
    <x:xf numFmtId="200" fontId="0" fillId="5" borderId="1" xfId="0" applyNumberFormat="1" applyFont="1" applyFill="1" applyBorder="1"/>
    <x:xf numFmtId="200" fontId="0" fillId="6" borderId="0" xfId="0" applyNumberFormat="1" applyFont="1" applyFill="1" applyBorder="1"/>
    <x:xf numFmtId="0" fontId="11" fillId="6" borderId="0" xfId="0" applyNumberFormat="1" applyFont="1" applyFill="1" applyBorder="1"/>
    <x:xf numFmtId="201" fontId="11" fillId="6" borderId="0" xfId="0" applyNumberFormat="1" applyFont="1" applyFill="1" applyBorder="1"/>
    <x:xf numFmtId="200" fontId="11" fillId="6" borderId="0" xfId="0" applyNumberFormat="1" applyFont="1" applyFill="1" applyBorder="1"/>
    <x:xf numFmtId="200" fontId="0" fillId="6" borderId="1" xfId="0" applyNumberFormat="1" applyFont="1" applyFill="1" applyBorder="1"/>
    <x:xf numFmtId="0" fontId="11" fillId="6" borderId="1" xfId="0" applyNumberFormat="1" applyFont="1" applyFill="1" applyBorder="1"/>
    <x:xf numFmtId="201" fontId="11" fillId="6" borderId="1" xfId="0" applyNumberFormat="1" applyFont="1" applyFill="1" applyBorder="1"/>
    <x:xf numFmtId="200" fontId="11" fillId="6" borderId="1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7cbd0ae88455d" /><Relationship Type="http://schemas.openxmlformats.org/officeDocument/2006/relationships/theme" Target="/xl/theme/theme1.xml" Id="Re58eef49bf51489b" /><Relationship Type="http://schemas.openxmlformats.org/officeDocument/2006/relationships/sharedStrings" Target="/xl/sharedStrings.xml" Id="R5790d39011204e3f" /><Relationship Type="http://schemas.openxmlformats.org/officeDocument/2006/relationships/worksheet" Target="/xl/worksheets/sheet1.xml" Id="Raf55a26fd003421b" /><Relationship Type="http://schemas.openxmlformats.org/officeDocument/2006/relationships/worksheet" Target="/xl/worksheets/sheet2.xml" Id="R99696d7577344fea" /><Relationship Type="http://schemas.openxmlformats.org/officeDocument/2006/relationships/worksheet" Target="/xl/worksheets/sheet3.xml" Id="R2e9e4663e76a41b5" /><Relationship Type="http://schemas.openxmlformats.org/officeDocument/2006/relationships/worksheet" Target="/xl/worksheets/sheet4.xml" Id="R4043fbfd878142e0" /><Relationship Type="http://schemas.openxmlformats.org/officeDocument/2006/relationships/worksheet" Target="/xl/worksheets/sheet5.xml" Id="Ra6f79358862146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598a7e241b4f8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15815cae0bc42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Alocacao do perfil selecionado</a:t>
            </a:r>
          </a:p>
        </c:rich>
      </c:tx>
      <c:overlay val="0"/>
    </c:title>
    <c:plotArea>
      <c:pieChart>
        <c:ser>
          <c:idx val="0"/>
          <c:order val="0"/>
          <c:tx>
            <c:v>Peso no perfil</c:v>
          </c:tx>
          <c:cat>
            <c:strRef>
              <c:f>'Painel'!$B$22:$B$27</c:f>
              <c:strCache>
                <c:ptCount val="0"/>
              </c:strCache>
            </c:strRef>
          </c:cat>
          <c:val>
            <c:numRef>
              <c:f>'Painel'!$C$22:$C$27</c:f>
              <c:numCache>
                <c:formatCode>0.00%;[Red](0.00%);"-"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investido x patrimonio futuro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aportado</c:v>
          </c:tx>
          <c:cat>
            <c:strRef>
              <c:f>'Projecoes'!$B$11:$B$15</c:f>
              <c:strCache>
                <c:ptCount val="0"/>
              </c:strCache>
            </c:strRef>
          </c:cat>
          <c:val>
            <c:numRef>
              <c:f>'Projecoes'!$C$11:$C$15</c:f>
              <c:numCache>
                <c:formatCode>"R$" #,##0.00;[Red]("R$" #,##0.00);"-"</c:formatCode>
                <c:ptCount val="0"/>
              </c:numCache>
            </c:numRef>
          </c:val>
        </c:ser>
        <c:ser>
          <c:idx val="1"/>
          <c:order val="1"/>
          <c:tx>
            <c:v>Patrimonio futuro</c:v>
          </c:tx>
          <c:cat>
            <c:strRef>
              <c:f>'Projecoes'!$B$11:$B$15</c:f>
              <c:strCache>
                <c:ptCount val="0"/>
              </c:strCache>
            </c:strRef>
          </c:cat>
          <c:val>
            <c:numRef>
              <c:f>'Projecoes'!$D$11:$D$15</c:f>
              <c:numCache>
                <c:formatCode>"R$" #,##0.00;[Red]("R$" 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11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598a7e241b4f8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20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5815cae0bc42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b79d62fae148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1307c8910834013" /></Relationships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8" hidden="0" customWidth="1"/>
    <x:col min="3" max="3" width="22" hidden="0" customWidth="1"/>
    <x:col min="4" max="4" width="22" hidden="0" customWidth="1"/>
    <x:col min="5" max="5" width="4" hidden="0" customWidth="1"/>
    <x:col min="6" max="6" width="27" hidden="0" customWidth="1"/>
    <x:col min="7" max="7" width="23" hidden="0" customWidth="1"/>
    <x:col min="8" max="8" width="4" hidden="0" customWidth="1"/>
    <x:col min="9" max="9" width="16" hidden="0" customWidth="1"/>
    <x:col min="10" max="10" width="16" hidden="0" customWidth="1"/>
    <x:col min="11" max="11" width="16" hidden="0" customWidth="1"/>
    <x:col min="12" max="12" width="4" hidden="0" customWidth="1"/>
  </x:cols>
  <x:sheetData>
    <x:row r="1" ht="10" customHeight="1"/>
    <x:row r="2" ht="26" customHeight="1">
      <x:c r="B2" s="4" t="str">
        <x:v>FII INVEST  |  DASHBOARD DE FUNDOS IMOBILIARIOS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29" customHeight="1">
      <x:c r="B5" s="10" t="str">
        <x:v>NAVEGACAO: use as guias PAINEL  |  CONFIGURACOES  |  PERFIS  |  PROJECOES  |  GUIA na parte inferior do Excel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  <x:row r="6" ht="8" customHeight="1"/>
    <x:row r="8" ht="29" customHeight="1">
      <x:c r="B8" s="15" t="str">
        <x:v>01   PARAMETROS DO INVESTIMENTO</x:v>
      </x:c>
      <x:c r="C8" s="15"/>
      <x:c r="D8" s="15"/>
      <x:c r="E8" s="15"/>
      <x:c r="F8" s="15"/>
      <x:c r="G8" s="15"/>
      <x:c r="H8" s="15"/>
      <x:c r="I8" s="15"/>
      <x:c r="J8" s="15"/>
      <x:c r="K8" s="15"/>
    </x:row>
    <x:row r="10" ht="28" customHeight="1">
      <x:c r="B10" t="str">
        <x:v>Salario mensal de exemplo</x:v>
      </x:c>
      <x:c r="C10" s="56" t="n">
        <x:f>Configuracoes!C10</x:f>
        <x:v>3000</x:v>
      </x:c>
      <x:c r="F10" s="34" t="str">
        <x:v>Total investido (R$)</x:v>
      </x:c>
      <x:c r="G10" s="28" t="n">
        <x:f>C11*C12*12</x:f>
        <x:v>60000</x:v>
      </x:c>
    </x:row>
    <x:row r="11" ht="34" customHeight="1">
      <x:c r="B11" t="str">
        <x:v>Aporte mensal</x:v>
      </x:c>
      <x:c r="C11" s="56" t="n">
        <x:f>Configuracoes!C12</x:f>
        <x:v>500</x:v>
      </x:c>
      <x:c r="F11" s="66" t="str">
        <x:v>Patrimonio futuro (R$)</x:v>
      </x:c>
      <x:c r="G11" s="67" t="n">
        <x:f>IF(C13=0,G10,FV(C13,C12*12,-C11,0,0))</x:f>
        <x:v>100108.73470495906</x:v>
      </x:c>
    </x:row>
    <x:row r="12" ht="34" customHeight="1">
      <x:c r="B12" t="str">
        <x:v>Prazo (anos)</x:v>
      </x:c>
      <x:c r="C12" s="58" t="n">
        <x:f>Configuracoes!C13</x:f>
        <x:v>10</x:v>
      </x:c>
      <x:c r="F12" s="66" t="str">
        <x:v>Renda mensal estimada (R$)</x:v>
      </x:c>
      <x:c r="G12" s="67" t="n">
        <x:f>G11*C13</x:f>
        <x:v>800.8698776396725</x:v>
      </x:c>
    </x:row>
    <x:row r="13" ht="28" customHeight="1">
      <x:c r="B13" t="str">
        <x:v>Rendimento mensal</x:v>
      </x:c>
      <x:c r="C13" s="60" t="n">
        <x:f>Configuracoes!C11</x:f>
        <x:v>0.008</x:v>
      </x:c>
      <x:c r="F13" s="34" t="str">
        <x:v>Ganho acumulado (R$)</x:v>
      </x:c>
      <x:c r="G13" s="28" t="n">
        <x:f>G11-G10</x:f>
        <x:v>40108.73470495906</x:v>
      </x:c>
    </x:row>
    <x:row r="14" ht="28" customHeight="1">
      <x:c r="B14" t="str">
        <x:v>Perfil escolhido</x:v>
      </x:c>
      <x:c r="C14" s="54" t="str">
        <x:f>Configuracoes!C14</x:f>
        <x:v>Moderado</x:v>
      </x:c>
      <x:c r="F14" s="34" t="str">
        <x:v>Ganho / total aportado</x:v>
      </x:c>
      <x:c r="G14" s="62" t="n">
        <x:f>IF(G10=0,0,G13/G10)</x:f>
        <x:v>0.6684789117493177</x:v>
      </x:c>
    </x:row>
    <x:row r="15" ht="28" customHeight="1">
      <x:c r="F15" s="34" t="str">
        <x:v>Renda mensal / aportes</x:v>
      </x:c>
      <x:c r="G15" s="62" t="n">
        <x:f>IF(G10=0,0,G12/G10)</x:f>
        <x:v>0.013347831293994541</x:v>
      </x:c>
    </x:row>
    <x:row r="16" ht="28" customHeight="1">
      <x:c r="F16" s="34" t="str">
        <x:v>Sugestao 30% do salario</x:v>
      </x:c>
      <x:c r="G16" s="28" t="n">
        <x:f>Configuracoes!C15</x:f>
        <x:v>900</x:v>
      </x:c>
    </x:row>
    <x:row r="19" ht="29" customHeight="1">
      <x:c r="B19" s="15" t="str">
        <x:v>02   DIVISAO MENSAL DO APORTE POR CATEGORIA</x:v>
      </x:c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1" ht="28" customHeight="1">
      <x:c r="B21" s="42" t="str">
        <x:v>Categoria de FII</x:v>
      </x:c>
      <x:c r="C21" s="42" t="str">
        <x:v>Peso no perfil</x:v>
      </x:c>
      <x:c r="D21" s="42" t="str">
        <x:v>Aporte mensal (R$)</x:v>
      </x:c>
    </x:row>
    <x:row r="22">
      <x:c r="B22" t="str">
        <x:v>Papel</x:v>
      </x:c>
      <x:c r="C22" s="74" t="n">
        <x:f>IFERROR(VLOOKUP($C$14&amp;"|"&amp;B22,Perfis!$B$11:$E$28,4,FALSE),0)</x:f>
        <x:v>0.25</x:v>
      </x:c>
      <x:c r="D22" s="75" t="n">
        <x:f>$C$11*C22</x:f>
        <x:v>125</x:v>
      </x:c>
    </x:row>
    <x:row r="23">
      <x:c r="B23" t="str">
        <x:v>Tijolo</x:v>
      </x:c>
      <x:c r="C23" s="74" t="n">
        <x:f>IFERROR(VLOOKUP($C$14&amp;"|"&amp;B23,Perfis!$B$11:$E$28,4,FALSE),0)</x:f>
        <x:v>0.2</x:v>
      </x:c>
      <x:c r="D23" s="75" t="n">
        <x:f>$C$11*C23</x:f>
        <x:v>100</x:v>
      </x:c>
    </x:row>
    <x:row r="24">
      <x:c r="B24" t="str">
        <x:v>Hibridos</x:v>
      </x:c>
      <x:c r="C24" s="74" t="n">
        <x:f>IFERROR(VLOOKUP($C$14&amp;"|"&amp;B24,Perfis!$B$11:$E$28,4,FALSE),0)</x:f>
        <x:v>0.15</x:v>
      </x:c>
      <x:c r="D24" s="75" t="n">
        <x:f>$C$11*C24</x:f>
        <x:v>75</x:v>
      </x:c>
    </x:row>
    <x:row r="25">
      <x:c r="B25" t="str">
        <x:v>FOFs</x:v>
      </x:c>
      <x:c r="C25" s="74" t="n">
        <x:f>IFERROR(VLOOKUP($C$14&amp;"|"&amp;B25,Perfis!$B$11:$E$28,4,FALSE),0)</x:f>
        <x:v>0.1</x:v>
      </x:c>
      <x:c r="D25" s="75" t="n">
        <x:f>$C$11*C25</x:f>
        <x:v>50</x:v>
      </x:c>
    </x:row>
    <x:row r="26">
      <x:c r="B26" t="str">
        <x:v>Logistica</x:v>
      </x:c>
      <x:c r="C26" s="74" t="n">
        <x:f>IFERROR(VLOOKUP($C$14&amp;"|"&amp;B26,Perfis!$B$11:$E$28,4,FALSE),0)</x:f>
        <x:v>0.15</x:v>
      </x:c>
      <x:c r="D26" s="75" t="n">
        <x:f>$C$11*C26</x:f>
        <x:v>75</x:v>
      </x:c>
    </x:row>
    <x:row r="27">
      <x:c r="B27" t="str">
        <x:v>Shoppings</x:v>
      </x:c>
      <x:c r="C27" s="74" t="n">
        <x:f>IFERROR(VLOOKUP($C$14&amp;"|"&amp;B27,Perfis!$B$11:$E$28,4,FALSE),0)</x:f>
        <x:v>0.15</x:v>
      </x:c>
      <x:c r="D27" s="75" t="n">
        <x:f>$C$11*C27</x:f>
        <x:v>75</x:v>
      </x:c>
    </x:row>
    <x:row r="28" ht="27" customHeight="1">
      <x:c r="B28" s="79" t="str">
        <x:v>TOTAL</x:v>
      </x:c>
      <x:c r="C28" s="80" t="n">
        <x:f>SUM(C22:C27)</x:f>
        <x:v>1</x:v>
      </x:c>
      <x:c r="D28" s="81" t="n">
        <x:f>SUM(D22:D27)</x:f>
        <x:v>500</x:v>
      </x:c>
    </x:row>
    <x:row r="31">
      <x:c r="B31" t="str">
        <x:v>Conferencia da alocacao:</x:v>
      </x:c>
      <x:c r="C31" s="39" t="str">
        <x:f>IF(AND(ABS(C28-1)&lt;0.0000001,ABS(D28-C11)&lt;0.0000001),"OK - 100%","VERIFICAR PERFIL")</x:f>
        <x:v>OK - 100%</x:v>
      </x:c>
    </x:row>
    <x:row r="35" ht="25" customHeight="1">
      <x:c r="B35" s="87" t="str">
        <x:v>Resultado hipotetico: a taxa mensal e fixa no modelo, mas retornos e dividendos de FIIs variam. Use este painel para estudo, nao para prever renda garantida.</x:v>
      </x:c>
      <x:c r="C35" s="87"/>
      <x:c r="D35" s="87"/>
    </x:row>
    <x:row r="36" ht="25" customHeight="1">
      <x:c r="B36" s="87"/>
      <x:c r="C36" s="87"/>
      <x:c r="D36" s="87"/>
    </x:row>
    <x:row r="37" ht="25" customHeight="1">
      <x:c r="B37" s="87"/>
      <x:c r="C37" s="87"/>
      <x:c r="D37" s="87"/>
    </x:row>
  </x:sheetData>
  <x:mergeCells>
    <x:mergeCell ref="B2:L3"/>
    <x:mergeCell ref="B5:L5"/>
    <x:mergeCell ref="B8:K8"/>
    <x:mergeCell ref="B19:K19"/>
    <x:mergeCell ref="B35:D37"/>
  </x:mergeCells>
  <x:pageMargins left="0.7" right="0.7" top="0.75" bottom="0.75" header="0.3" footer="0.3"/>
  <x:drawing xmlns:r="http://schemas.openxmlformats.org/officeDocument/2006/relationships" r:id="Rbbb79d62fae1484d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8" hidden="0" customWidth="1"/>
    <x:col min="3" max="3" width="22" hidden="0" customWidth="1"/>
    <x:col min="4" max="4" width="22" hidden="0" customWidth="1"/>
    <x:col min="5" max="5" width="4" hidden="0" customWidth="1"/>
    <x:col min="6" max="6" width="27" hidden="0" customWidth="1"/>
    <x:col min="7" max="7" width="23" hidden="0" customWidth="1"/>
    <x:col min="8" max="8" width="4" hidden="0" customWidth="1"/>
    <x:col min="9" max="9" width="16" hidden="0" customWidth="1"/>
    <x:col min="10" max="10" width="16" hidden="0" customWidth="1"/>
    <x:col min="11" max="11" width="16" hidden="0" customWidth="1"/>
    <x:col min="12" max="12" width="4" hidden="0" customWidth="1"/>
  </x:cols>
  <x:sheetData>
    <x:row r="1" ht="10" customHeight="1"/>
    <x:row r="2" ht="26" customHeight="1">
      <x:c r="B2" s="4" t="str">
        <x:v>FII INVEST  |  CONFIGURACOES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29" customHeight="1">
      <x:c r="B5" s="10" t="str">
        <x:v>NAVEGACAO: use as guias PAINEL  |  CONFIGURACOES  |  PERFIS  |  PROJECOES  |  GUIA na parte inferior do Excel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  <x:row r="6" ht="8" customHeight="1"/>
    <x:row r="8" ht="29" customHeight="1">
      <x:c r="B8" s="15" t="str">
        <x:v>01   PARAMETROS EDITAVEIS — ALTERE SOMENTE AS CELULAS AMARELAS</x:v>
      </x:c>
      <x:c r="C8" s="15"/>
      <x:c r="D8" s="15"/>
      <x:c r="E8" s="15"/>
      <x:c r="F8" s="15"/>
      <x:c r="G8" s="15"/>
      <x:c r="H8" s="15"/>
      <x:c r="I8" s="15"/>
      <x:c r="J8" s="15"/>
      <x:c r="K8" s="15"/>
    </x:row>
    <x:row r="10" ht="28" customHeight="1">
      <x:c r="B10" t="str">
        <x:v>Salario mensal ilustrativo</x:v>
      </x:c>
      <x:c r="C10" s="26" t="n">
        <x:v>3000</x:v>
      </x:c>
    </x:row>
    <x:row r="11" ht="28" customHeight="1">
      <x:c r="B11" t="str">
        <x:v>Taxa mensal estimada</x:v>
      </x:c>
      <x:c r="C11" s="30" t="n">
        <x:v>0.008</x:v>
      </x:c>
    </x:row>
    <x:row r="12" ht="28" customHeight="1">
      <x:c r="B12" t="str">
        <x:v>Aporte mensal informado</x:v>
      </x:c>
      <x:c r="C12" s="26" t="n">
        <x:v>500</x:v>
      </x:c>
    </x:row>
    <x:row r="13" ht="28" customHeight="1">
      <x:c r="B13" t="str">
        <x:v>Prazo da simulacao (anos)</x:v>
      </x:c>
      <x:c r="C13" s="32" t="n">
        <x:v>10</x:v>
      </x:c>
    </x:row>
    <x:row r="14" ht="28" customHeight="1">
      <x:c r="B14" t="str">
        <x:v>Perfil de investidor</x:v>
      </x:c>
      <x:c r="C14" s="19" t="str">
        <x:v>Moderado</x:v>
      </x:c>
    </x:row>
    <x:row r="15" ht="28" customHeight="1">
      <x:c r="B15" t="str">
        <x:v>Sugestao de aporte (30%)</x:v>
      </x:c>
      <x:c r="C15" s="28" t="n">
        <x:f>C10*30%</x:f>
        <x:v>900</x:v>
      </x:c>
    </x:row>
    <x:row r="18" ht="29" customHeight="1">
      <x:c r="B18" s="15" t="str">
        <x:v>02   REGRAS DO MODELO</x:v>
      </x:c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20" ht="25" customHeight="1">
      <x:c r="B20" s="35" t="str">
        <x:v>Valores ficticios para fins educacionais. Modelo com aportes no final de cada mes e rendimento mensal constante, integralmente reinvestido ate o final do prazo. A renda mensal estimada usa a mesma taxa sobre o patrimonio acumulado: nao e garantia de dividendos. Nao considera volatilidade, inflacao, custos, impostos ou mudancas no valor das cotas. A sugestao de 30% e somente um cenario.</x:v>
      </x:c>
      <x:c r="C20" s="35"/>
      <x:c r="D20" s="35"/>
      <x:c r="E20" s="35"/>
      <x:c r="F20" s="35"/>
      <x:c r="G20" s="35"/>
      <x:c r="H20" s="35"/>
      <x:c r="I20" s="35"/>
      <x:c r="J20" s="35"/>
    </x:row>
    <x:row r="21" ht="25" customHeight="1">
      <x:c r="B21" s="35"/>
      <x:c r="C21" s="35"/>
      <x:c r="D21" s="35"/>
      <x:c r="E21" s="35"/>
      <x:c r="F21" s="35"/>
      <x:c r="G21" s="35"/>
      <x:c r="H21" s="35"/>
      <x:c r="I21" s="35"/>
      <x:c r="J21" s="35"/>
    </x:row>
    <x:row r="22" ht="25" customHeight="1">
      <x:c r="B22" s="35"/>
      <x:c r="C22" s="35"/>
      <x:c r="D22" s="35"/>
      <x:c r="E22" s="35"/>
      <x:c r="F22" s="35"/>
      <x:c r="G22" s="35"/>
      <x:c r="H22" s="35"/>
      <x:c r="I22" s="35"/>
      <x:c r="J22" s="35"/>
    </x:row>
    <x:row r="23" ht="25" customHeight="1">
      <x:c r="B23" s="35"/>
      <x:c r="C23" s="35"/>
      <x:c r="D23" s="35"/>
      <x:c r="E23" s="35"/>
      <x:c r="F23" s="35"/>
      <x:c r="G23" s="35"/>
      <x:c r="H23" s="35"/>
      <x:c r="I23" s="35"/>
      <x:c r="J23" s="35"/>
    </x:row>
    <x:row r="26" ht="24" customHeight="1">
      <x:c r="B26" s="39" t="str">
        <x:v>MODIFIQUE OS CAMPOS AMARELOS E CONFIRA OS RESULTADOS AUTOMATICOS NAS OUTRAS ABAS.</x:v>
      </x:c>
      <x:c r="C26" s="39"/>
      <x:c r="D26" s="39"/>
      <x:c r="E26" s="39"/>
      <x:c r="F26" s="39"/>
      <x:c r="G26" s="39"/>
      <x:c r="H26" s="39"/>
      <x:c r="I26" s="39"/>
      <x:c r="J26" s="39"/>
    </x:row>
    <x:row r="27" ht="24" customHeight="1">
      <x:c r="B27" s="39"/>
      <x:c r="C27" s="39"/>
      <x:c r="D27" s="39"/>
      <x:c r="E27" s="39"/>
      <x:c r="F27" s="39"/>
      <x:c r="G27" s="39"/>
      <x:c r="H27" s="39"/>
      <x:c r="I27" s="39"/>
      <x:c r="J27" s="39"/>
    </x:row>
  </x:sheetData>
  <x:mergeCells>
    <x:mergeCell ref="B2:L3"/>
    <x:mergeCell ref="B5:L5"/>
    <x:mergeCell ref="B8:K8"/>
    <x:mergeCell ref="B18:K18"/>
    <x:mergeCell ref="B20:J23"/>
    <x:mergeCell ref="B26:J27"/>
  </x:mergeCells>
  <x:dataValidations count="1">
    <x:dataValidation type="list" sqref="C14">
      <x:formula1>"Conservador,Moderado,Arrojado"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9" hidden="0" customWidth="1"/>
    <x:col min="3" max="3" width="22" hidden="0" customWidth="1"/>
    <x:col min="4" max="4" width="22" hidden="0" customWidth="1"/>
    <x:col min="5" max="5" width="4" hidden="0" customWidth="1"/>
    <x:col min="6" max="6" width="27" hidden="0" customWidth="1"/>
    <x:col min="7" max="7" width="23" hidden="0" customWidth="1"/>
    <x:col min="8" max="8" width="4" hidden="0" customWidth="1"/>
    <x:col min="9" max="9" width="16" hidden="0" customWidth="1"/>
    <x:col min="10" max="10" width="16" hidden="0" customWidth="1"/>
    <x:col min="11" max="11" width="16" hidden="0" customWidth="1"/>
    <x:col min="12" max="12" width="4" hidden="0" customWidth="1"/>
  </x:cols>
  <x:sheetData>
    <x:row r="1" ht="10" customHeight="1"/>
    <x:row r="2" ht="26" customHeight="1">
      <x:c r="B2" s="4" t="str">
        <x:v>FII INVEST  |  PERFIS E ALOCACAO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29" customHeight="1">
      <x:c r="B5" s="10" t="str">
        <x:v>NAVEGACAO: use as guias PAINEL  |  CONFIGURACOES  |  PERFIS  |  PROJECOES  |  GUIA na parte inferior do Excel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  <x:row r="6" ht="8" customHeight="1"/>
    <x:row r="8" ht="29" customHeight="1">
      <x:c r="B8" s="15" t="str">
        <x:v>MATRIZ DE ALOCACAO — PERCENTUAIS HIPOTETICOS, EDITAVEIS</x:v>
      </x:c>
      <x:c r="C8" s="15"/>
      <x:c r="D8" s="15"/>
      <x:c r="E8" s="15"/>
      <x:c r="F8" s="15"/>
      <x:c r="G8" s="15"/>
      <x:c r="H8" s="15"/>
      <x:c r="I8" s="15"/>
      <x:c r="J8" s="15"/>
      <x:c r="K8" s="15"/>
    </x:row>
    <x:row r="10" ht="28" customHeight="1">
      <x:c r="B10" s="42" t="str">
        <x:v>Chave composta</x:v>
      </x:c>
      <x:c r="C10" s="42" t="str">
        <x:v>Perfil</x:v>
      </x:c>
      <x:c r="D10" s="42" t="str">
        <x:v>Tipo de FII</x:v>
      </x:c>
      <x:c r="E10" s="42" t="str">
        <x:v>Alocacao</x:v>
      </x:c>
    </x:row>
    <x:row r="11">
      <x:c r="B11" t="str">
        <x:v>Conservador|Papel</x:v>
      </x:c>
      <x:c r="C11" t="str">
        <x:v>Conservador</x:v>
      </x:c>
      <x:c r="D11" t="str">
        <x:v>Papel</x:v>
      </x:c>
      <x:c r="E11" s="47" t="n">
        <x:v>0.35</x:v>
      </x:c>
    </x:row>
    <x:row r="12">
      <x:c r="B12" t="str">
        <x:v>Conservador|Tijolo</x:v>
      </x:c>
      <x:c r="C12" t="str">
        <x:v>Conservador</x:v>
      </x:c>
      <x:c r="D12" t="str">
        <x:v>Tijolo</x:v>
      </x:c>
      <x:c r="E12" s="47" t="n">
        <x:v>0.2</x:v>
      </x:c>
    </x:row>
    <x:row r="13">
      <x:c r="B13" t="str">
        <x:v>Conservador|Hibridos</x:v>
      </x:c>
      <x:c r="C13" t="str">
        <x:v>Conservador</x:v>
      </x:c>
      <x:c r="D13" t="str">
        <x:v>Hibridos</x:v>
      </x:c>
      <x:c r="E13" s="47" t="n">
        <x:v>0.15</x:v>
      </x:c>
    </x:row>
    <x:row r="14">
      <x:c r="B14" t="str">
        <x:v>Conservador|FOFs</x:v>
      </x:c>
      <x:c r="C14" t="str">
        <x:v>Conservador</x:v>
      </x:c>
      <x:c r="D14" t="str">
        <x:v>FOFs</x:v>
      </x:c>
      <x:c r="E14" s="47" t="n">
        <x:v>0.1</x:v>
      </x:c>
    </x:row>
    <x:row r="15">
      <x:c r="B15" t="str">
        <x:v>Conservador|Logistica</x:v>
      </x:c>
      <x:c r="C15" t="str">
        <x:v>Conservador</x:v>
      </x:c>
      <x:c r="D15" t="str">
        <x:v>Logistica</x:v>
      </x:c>
      <x:c r="E15" s="47" t="n">
        <x:v>0.15</x:v>
      </x:c>
    </x:row>
    <x:row r="16">
      <x:c r="B16" t="str">
        <x:v>Conservador|Shoppings</x:v>
      </x:c>
      <x:c r="C16" t="str">
        <x:v>Conservador</x:v>
      </x:c>
      <x:c r="D16" t="str">
        <x:v>Shoppings</x:v>
      </x:c>
      <x:c r="E16" s="47" t="n">
        <x:v>0.05</x:v>
      </x:c>
    </x:row>
    <x:row r="17">
      <x:c r="B17" t="str">
        <x:v>Moderado|Papel</x:v>
      </x:c>
      <x:c r="C17" t="str">
        <x:v>Moderado</x:v>
      </x:c>
      <x:c r="D17" t="str">
        <x:v>Papel</x:v>
      </x:c>
      <x:c r="E17" s="47" t="n">
        <x:v>0.25</x:v>
      </x:c>
    </x:row>
    <x:row r="18">
      <x:c r="B18" t="str">
        <x:v>Moderado|Tijolo</x:v>
      </x:c>
      <x:c r="C18" t="str">
        <x:v>Moderado</x:v>
      </x:c>
      <x:c r="D18" t="str">
        <x:v>Tijolo</x:v>
      </x:c>
      <x:c r="E18" s="47" t="n">
        <x:v>0.2</x:v>
      </x:c>
    </x:row>
    <x:row r="19">
      <x:c r="B19" t="str">
        <x:v>Moderado|Hibridos</x:v>
      </x:c>
      <x:c r="C19" t="str">
        <x:v>Moderado</x:v>
      </x:c>
      <x:c r="D19" t="str">
        <x:v>Hibridos</x:v>
      </x:c>
      <x:c r="E19" s="47" t="n">
        <x:v>0.15</x:v>
      </x:c>
    </x:row>
    <x:row r="20">
      <x:c r="B20" t="str">
        <x:v>Moderado|FOFs</x:v>
      </x:c>
      <x:c r="C20" t="str">
        <x:v>Moderado</x:v>
      </x:c>
      <x:c r="D20" t="str">
        <x:v>FOFs</x:v>
      </x:c>
      <x:c r="E20" s="47" t="n">
        <x:v>0.1</x:v>
      </x:c>
    </x:row>
    <x:row r="21">
      <x:c r="B21" t="str">
        <x:v>Moderado|Logistica</x:v>
      </x:c>
      <x:c r="C21" t="str">
        <x:v>Moderado</x:v>
      </x:c>
      <x:c r="D21" t="str">
        <x:v>Logistica</x:v>
      </x:c>
      <x:c r="E21" s="47" t="n">
        <x:v>0.15</x:v>
      </x:c>
    </x:row>
    <x:row r="22">
      <x:c r="B22" t="str">
        <x:v>Moderado|Shoppings</x:v>
      </x:c>
      <x:c r="C22" t="str">
        <x:v>Moderado</x:v>
      </x:c>
      <x:c r="D22" t="str">
        <x:v>Shoppings</x:v>
      </x:c>
      <x:c r="E22" s="47" t="n">
        <x:v>0.15</x:v>
      </x:c>
    </x:row>
    <x:row r="23">
      <x:c r="B23" t="str">
        <x:v>Arrojado|Papel</x:v>
      </x:c>
      <x:c r="C23" t="str">
        <x:v>Arrojado</x:v>
      </x:c>
      <x:c r="D23" t="str">
        <x:v>Papel</x:v>
      </x:c>
      <x:c r="E23" s="47" t="n">
        <x:v>0.15</x:v>
      </x:c>
    </x:row>
    <x:row r="24">
      <x:c r="B24" t="str">
        <x:v>Arrojado|Tijolo</x:v>
      </x:c>
      <x:c r="C24" t="str">
        <x:v>Arrojado</x:v>
      </x:c>
      <x:c r="D24" t="str">
        <x:v>Tijolo</x:v>
      </x:c>
      <x:c r="E24" s="47" t="n">
        <x:v>0.2</x:v>
      </x:c>
    </x:row>
    <x:row r="25">
      <x:c r="B25" t="str">
        <x:v>Arrojado|Hibridos</x:v>
      </x:c>
      <x:c r="C25" t="str">
        <x:v>Arrojado</x:v>
      </x:c>
      <x:c r="D25" t="str">
        <x:v>Hibridos</x:v>
      </x:c>
      <x:c r="E25" s="47" t="n">
        <x:v>0.15</x:v>
      </x:c>
    </x:row>
    <x:row r="26">
      <x:c r="B26" t="str">
        <x:v>Arrojado|FOFs</x:v>
      </x:c>
      <x:c r="C26" t="str">
        <x:v>Arrojado</x:v>
      </x:c>
      <x:c r="D26" t="str">
        <x:v>FOFs</x:v>
      </x:c>
      <x:c r="E26" s="47" t="n">
        <x:v>0.1</x:v>
      </x:c>
    </x:row>
    <x:row r="27">
      <x:c r="B27" t="str">
        <x:v>Arrojado|Logistica</x:v>
      </x:c>
      <x:c r="C27" t="str">
        <x:v>Arrojado</x:v>
      </x:c>
      <x:c r="D27" t="str">
        <x:v>Logistica</x:v>
      </x:c>
      <x:c r="E27" s="47" t="n">
        <x:v>0.2</x:v>
      </x:c>
    </x:row>
    <x:row r="28">
      <x:c r="B28" t="str">
        <x:v>Arrojado|Shoppings</x:v>
      </x:c>
      <x:c r="C28" t="str">
        <x:v>Arrojado</x:v>
      </x:c>
      <x:c r="D28" t="str">
        <x:v>Shoppings</x:v>
      </x:c>
      <x:c r="E28" s="47" t="n">
        <x:v>0.2</x:v>
      </x:c>
    </x:row>
    <x:row r="31" ht="28" customHeight="1">
      <x:c r="C31" s="42" t="str">
        <x:v>Perfil</x:v>
      </x:c>
      <x:c r="D31" s="42" t="str">
        <x:v>Total</x:v>
      </x:c>
    </x:row>
    <x:row r="32">
      <x:c r="C32" t="str">
        <x:v>Conservador</x:v>
      </x:c>
      <x:c r="D32" s="50" t="n">
        <x:f>SUMIF($C$11:$C$28,C32,$E$11:$E$28)</x:f>
        <x:v>1</x:v>
      </x:c>
    </x:row>
    <x:row r="33">
      <x:c r="C33" t="str">
        <x:v>Moderado</x:v>
      </x:c>
      <x:c r="D33" s="50" t="n">
        <x:f>SUMIF($C$11:$C$28,C33,$E$11:$E$28)</x:f>
        <x:v>1</x:v>
      </x:c>
    </x:row>
    <x:row r="34">
      <x:c r="C34" t="str">
        <x:v>Arrojado</x:v>
      </x:c>
      <x:c r="D34" s="50" t="n">
        <x:f>SUMIF($C$11:$C$28,C34,$E$11:$E$28)</x:f>
        <x:v>1</x:v>
      </x:c>
    </x:row>
    <x:row r="37" ht="24" customHeight="1">
      <x:c r="B37" s="52" t="str">
        <x:v>Os pesos sao EXEMPLOS para demonstrar PROCV e validacao de dados; nao constituem recomendacao de alocacao. Mantenha a soma de cada perfil em 100%.</x:v>
      </x:c>
      <x:c r="C37" s="52"/>
      <x:c r="D37" s="52"/>
      <x:c r="E37" s="52"/>
      <x:c r="F37" s="52"/>
      <x:c r="G37" s="52"/>
      <x:c r="H37" s="52"/>
      <x:c r="I37" s="52"/>
      <x:c r="J37" s="52"/>
    </x:row>
    <x:row r="38" ht="24" customHeight="1">
      <x:c r="B38" s="52"/>
      <x:c r="C38" s="52"/>
      <x:c r="D38" s="52"/>
      <x:c r="E38" s="52"/>
      <x:c r="F38" s="52"/>
      <x:c r="G38" s="52"/>
      <x:c r="H38" s="52"/>
      <x:c r="I38" s="52"/>
      <x:c r="J38" s="52"/>
    </x:row>
  </x:sheetData>
  <x:mergeCells>
    <x:mergeCell ref="B2:L3"/>
    <x:mergeCell ref="B5:L5"/>
    <x:mergeCell ref="B8:K8"/>
    <x:mergeCell ref="B37:J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8" hidden="0" customWidth="1"/>
    <x:col min="3" max="3" width="23" hidden="0" customWidth="1"/>
    <x:col min="4" max="4" width="23" hidden="0" customWidth="1"/>
    <x:col min="5" max="5" width="24" hidden="0" customWidth="1"/>
    <x:col min="6" max="6" width="25" hidden="0" customWidth="1"/>
    <x:col min="7" max="7" width="26" hidden="0" customWidth="1"/>
    <x:col min="8" max="8" width="4" hidden="0" customWidth="1"/>
    <x:col min="9" max="9" width="16" hidden="0" customWidth="1"/>
    <x:col min="10" max="10" width="16" hidden="0" customWidth="1"/>
    <x:col min="11" max="11" width="16" hidden="0" customWidth="1"/>
    <x:col min="12" max="12" width="4" hidden="0" customWidth="1"/>
  </x:cols>
  <x:sheetData>
    <x:row r="1" ht="10" customHeight="1"/>
    <x:row r="2" ht="26" customHeight="1">
      <x:c r="B2" s="4" t="str">
        <x:v>FII INVEST  |  PROJECOES E CENARIOS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29" customHeight="1">
      <x:c r="B5" s="10" t="str">
        <x:v>NAVEGACAO: use as guias PAINEL  |  CONFIGURACOES  |  PERFIS  |  PROJECOES  |  GUIA na parte inferior do Excel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  <x:row r="6" ht="8" customHeight="1"/>
    <x:row r="8" ht="29" customHeight="1">
      <x:c r="B8" s="15" t="str">
        <x:v>01   CENARIOS DE 2 A 30 ANOS</x:v>
      </x:c>
      <x:c r="C8" s="15"/>
      <x:c r="D8" s="15"/>
      <x:c r="E8" s="15"/>
      <x:c r="F8" s="15"/>
      <x:c r="G8" s="15"/>
      <x:c r="H8" s="15"/>
      <x:c r="I8" s="15"/>
      <x:c r="J8" s="15"/>
      <x:c r="K8" s="15"/>
    </x:row>
    <x:row r="10" ht="28" customHeight="1">
      <x:c r="B10" s="42" t="str">
        <x:v>Prazo (anos)</x:v>
      </x:c>
      <x:c r="C10" s="42" t="str">
        <x:v>Total aportado</x:v>
      </x:c>
      <x:c r="D10" s="42" t="str">
        <x:v>Patrimonio futuro</x:v>
      </x:c>
      <x:c r="E10" s="42" t="str">
        <x:v>Renda mensal proj.</x:v>
      </x:c>
      <x:c r="F10" s="42" t="str">
        <x:v>Patrim. aporte 30%</x:v>
      </x:c>
      <x:c r="G10" s="42" t="str">
        <x:v>Diferenca patrimonial</x:v>
      </x:c>
    </x:row>
    <x:row r="11" ht="25" customHeight="1">
      <x:c r="B11" t="n">
        <x:v>2</x:v>
      </x:c>
      <x:c r="C11" s="75" t="n">
        <x:f>B11*12*Configuracoes!$C$12</x:f>
        <x:v>12000</x:v>
      </x:c>
      <x:c r="D11" s="78" t="n">
        <x:f>IF(Configuracoes!$C$11=0,C11,FV(Configuracoes!$C$11,B11*12,-Configuracoes!$C$12,0,0))</x:f>
        <x:v>13171.577555559781</x:v>
      </x:c>
      <x:c r="E11" s="75" t="n">
        <x:f>D11*Configuracoes!$C$11</x:f>
        <x:v>105.37262044447824</x:v>
      </x:c>
      <x:c r="F11" s="75" t="n">
        <x:f>IF(Configuracoes!$C$11=0,B11*12*Configuracoes!$C$15,FV(Configuracoes!$C$11,B11*12,-Configuracoes!$C$15,0,0))</x:f>
        <x:v>23708.839600007606</x:v>
      </x:c>
      <x:c r="G11" s="75" t="n">
        <x:f>F11-D11</x:f>
        <x:v>10537.262044447825</x:v>
      </x:c>
    </x:row>
    <x:row r="12" ht="25" customHeight="1">
      <x:c r="B12" t="n">
        <x:v>5</x:v>
      </x:c>
      <x:c r="C12" s="75" t="n">
        <x:f>B12*12*Configuracoes!$C$12</x:f>
        <x:v>30000</x:v>
      </x:c>
      <x:c r="D12" s="78" t="n">
        <x:f>IF(Configuracoes!$C$11=0,C12,FV(Configuracoes!$C$11,B12*12,-Configuracoes!$C$12,0,0))</x:f>
        <x:v>38311.93341594011</x:v>
      </x:c>
      <x:c r="E12" s="75" t="n">
        <x:f>D12*Configuracoes!$C$11</x:f>
        <x:v>306.4954673275209</x:v>
      </x:c>
      <x:c r="F12" s="75" t="n">
        <x:f>IF(Configuracoes!$C$11=0,B12*12*Configuracoes!$C$15,FV(Configuracoes!$C$11,B12*12,-Configuracoes!$C$15,0,0))</x:f>
        <x:v>68961.4801486922</x:v>
      </x:c>
      <x:c r="G12" s="75" t="n">
        <x:f>F12-D12</x:f>
        <x:v>30649.546732752082</x:v>
      </x:c>
    </x:row>
    <x:row r="13" ht="25" customHeight="1">
      <x:c r="B13" t="n">
        <x:v>10</x:v>
      </x:c>
      <x:c r="C13" s="75" t="n">
        <x:f>B13*12*Configuracoes!$C$12</x:f>
        <x:v>60000</x:v>
      </x:c>
      <x:c r="D13" s="78" t="n">
        <x:f>IF(Configuracoes!$C$11=0,C13,FV(Configuracoes!$C$11,B13*12,-Configuracoes!$C$12,0,0))</x:f>
        <x:v>100108.73470495906</x:v>
      </x:c>
      <x:c r="E13" s="75" t="n">
        <x:f>D13*Configuracoes!$C$11</x:f>
        <x:v>800.8698776396725</x:v>
      </x:c>
      <x:c r="F13" s="75" t="n">
        <x:f>IF(Configuracoes!$C$11=0,B13*12*Configuracoes!$C$15,FV(Configuracoes!$C$11,B13*12,-Configuracoes!$C$15,0,0))</x:f>
        <x:v>180195.72246892634</x:v>
      </x:c>
      <x:c r="G13" s="75" t="n">
        <x:f>F13-D13</x:f>
        <x:v>80086.98776396728</x:v>
      </x:c>
    </x:row>
    <x:row r="14" ht="25" customHeight="1">
      <x:c r="B14" t="n">
        <x:v>20</x:v>
      </x:c>
      <x:c r="C14" s="75" t="n">
        <x:f>B14*12*Configuracoes!$C$12</x:f>
        <x:v>120000</x:v>
      </x:c>
      <x:c r="D14" s="78" t="n">
        <x:f>IF(Configuracoes!$C$11=0,C14,FV(Configuracoes!$C$11,B14*12,-Configuracoes!$C$12,0,0))</x:f>
        <x:v>360565.60963756416</x:v>
      </x:c>
      <x:c r="E14" s="75" t="n">
        <x:f>D14*Configuracoes!$C$11</x:f>
        <x:v>2884.5248771005135</x:v>
      </x:c>
      <x:c r="F14" s="75" t="n">
        <x:f>IF(Configuracoes!$C$11=0,B14*12*Configuracoes!$C$15,FV(Configuracoes!$C$11,B14*12,-Configuracoes!$C$15,0,0))</x:f>
        <x:v>649018.0973476155</x:v>
      </x:c>
      <x:c r="G14" s="75" t="n">
        <x:f>F14-D14</x:f>
        <x:v>288452.48771005135</x:v>
      </x:c>
    </x:row>
    <x:row r="15" ht="25" customHeight="1">
      <x:c r="B15" t="n">
        <x:v>30</x:v>
      </x:c>
      <x:c r="C15" s="75" t="n">
        <x:f>B15*12*Configuracoes!$C$12</x:f>
        <x:v>180000</x:v>
      </x:c>
      <x:c r="D15" s="78" t="n">
        <x:f>IF(Configuracoes!$C$11=0,C15,FV(Configuracoes!$C$11,B15*12,-Configuracoes!$C$12,0,0))</x:f>
        <x:v>1038206.6156855428</x:v>
      </x:c>
      <x:c r="E15" s="75" t="n">
        <x:f>D15*Configuracoes!$C$11</x:f>
        <x:v>8305.652925484343</x:v>
      </x:c>
      <x:c r="F15" s="75" t="n">
        <x:f>IF(Configuracoes!$C$11=0,B15*12*Configuracoes!$C$15,FV(Configuracoes!$C$11,B15*12,-Configuracoes!$C$15,0,0))</x:f>
        <x:v>1868771.908233977</x:v>
      </x:c>
      <x:c r="G15" s="75" t="n">
        <x:f>F15-D15</x:f>
        <x:v>830565.2925484341</x:v>
      </x:c>
    </x:row>
    <x:row r="18" ht="23" customHeight="1">
      <x:c r="B18" s="86" t="str">
        <x:v>Patrimonio com aporte informado e aporte de 30% do salario. Sem inflacao e sem impostos.</x:v>
      </x:c>
      <x:c r="C18" s="86"/>
      <x:c r="D18" s="86"/>
      <x:c r="E18" s="86"/>
      <x:c r="F18" s="86"/>
      <x:c r="G18" s="86"/>
      <x:c r="H18" s="86"/>
      <x:c r="I18" s="86"/>
      <x:c r="J18" s="86"/>
      <x:c r="K18" s="86"/>
    </x:row>
  </x:sheetData>
  <x:mergeCells>
    <x:mergeCell ref="B2:L3"/>
    <x:mergeCell ref="B5:L5"/>
    <x:mergeCell ref="B8:K8"/>
    <x:mergeCell ref="B18:K18"/>
  </x:mergeCells>
  <x:pageMargins left="0.7" right="0.7" top="0.75" bottom="0.75" header="0.3" footer="0.3"/>
  <x:drawing xmlns:r="http://schemas.openxmlformats.org/officeDocument/2006/relationships" r:id="R61307c8910834013"/>
</x:worksheet>
</file>

<file path=xl/worksheets/sheet5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45" hidden="0" customWidth="1"/>
    <x:col min="3" max="3" width="37" hidden="0" customWidth="1"/>
    <x:col min="4" max="4" width="85" hidden="0" customWidth="1"/>
    <x:col min="5" max="5" width="4" hidden="0" customWidth="1"/>
    <x:col min="6" max="6" width="27" hidden="0" customWidth="1"/>
    <x:col min="7" max="7" width="23" hidden="0" customWidth="1"/>
    <x:col min="8" max="8" width="4" hidden="0" customWidth="1"/>
    <x:col min="9" max="9" width="16" hidden="0" customWidth="1"/>
    <x:col min="10" max="10" width="16" hidden="0" customWidth="1"/>
    <x:col min="11" max="11" width="16" hidden="0" customWidth="1"/>
    <x:col min="12" max="12" width="4" hidden="0" customWidth="1"/>
  </x:cols>
  <x:sheetData>
    <x:row r="1" ht="10" customHeight="1"/>
    <x:row r="2" ht="26" customHeight="1">
      <x:c r="B2" s="4" t="str">
        <x:v>FII INVEST  |  GUIA E APRESENTACAO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6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29" customHeight="1">
      <x:c r="B5" s="10" t="str">
        <x:v>NAVEGACAO: use as guias PAINEL  |  CONFIGURACOES  |  PERFIS  |  PROJECOES  |  GUIA na parte inferior do Excel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  <x:row r="6" ht="8" customHeight="1"/>
    <x:row r="8" ht="29" customHeight="1">
      <x:c r="B8" s="15" t="str">
        <x:v>FUNCOES E EXPLICACOES PARA APRESENTACAO NO GITHUB / DIO</x:v>
      </x:c>
      <x:c r="C8" s="15"/>
      <x:c r="D8" s="15"/>
      <x:c r="E8" s="15"/>
      <x:c r="F8" s="15"/>
      <x:c r="G8" s="15"/>
      <x:c r="H8" s="15"/>
      <x:c r="I8" s="15"/>
      <x:c r="J8" s="15"/>
      <x:c r="K8" s="15"/>
    </x:row>
    <x:row r="10" ht="28" customHeight="1">
      <x:c r="B10" s="42" t="str">
        <x:v>Funcao</x:v>
      </x:c>
      <x:c r="C10" s="42" t="str">
        <x:v>Onde aparece</x:v>
      </x:c>
      <x:c r="D10" s="42" t="str">
        <x:v>Como explicar</x:v>
      </x:c>
    </x:row>
    <x:row r="11" ht="49" customHeight="1">
      <x:c r="B11" s="90" t="str">
        <x:v>VF (FV)</x:v>
      </x:c>
      <x:c r="C11" s="90" t="str">
        <x:v>Painel!G11; Projecoes!D11:D15</x:v>
      </x:c>
      <x:c r="D11" s="90" t="str">
        <x:v>Valor futuro: juros por mes, quantidade de meses, aportes negativos para retornar patrimonio positivo. O ultimo 0 indica aporte no final do mes.</x:v>
      </x:c>
    </x:row>
    <x:row r="12" ht="49" customHeight="1">
      <x:c r="B12" s="90" t="str">
        <x:v>PROCV (VLOOKUP)</x:v>
      </x:c>
      <x:c r="C12" s="90" t="str">
        <x:v>Painel!C22:C27</x:v>
      </x:c>
      <x:c r="D12" s="90" t="str">
        <x:v>Monta chave 'Moderado|Papel', pesquisa na aba Perfis e traz a quarta coluna, que contem o percentual.</x:v>
      </x:c>
    </x:row>
    <x:row r="13" ht="49" customHeight="1">
      <x:c r="B13" s="90" t="str">
        <x:v>SE (IF)</x:v>
      </x:c>
      <x:c r="C13" s="90" t="str">
        <x:v>Painel!G11</x:v>
      </x:c>
      <x:c r="D13" s="90" t="str">
        <x:v>Quando a taxa e zero, acumula aportes sem juros; evita comportamento inadequado da simulacao.</x:v>
      </x:c>
    </x:row>
    <x:row r="14" ht="49" customHeight="1">
      <x:c r="B14" s="90" t="str">
        <x:v>SEERRO (IFERROR)</x:v>
      </x:c>
      <x:c r="C14" s="90" t="str">
        <x:v>Painel!C22:C27</x:v>
      </x:c>
      <x:c r="D14" s="90" t="str">
        <x:v>Se a busca falhar, retorna zero; verificar perfis ajuda a detectar distribuicao incompleta.</x:v>
      </x:c>
    </x:row>
    <x:row r="15" ht="49" customHeight="1">
      <x:c r="B15" s="90" t="str">
        <x:v>SOMASE (SUMIF)</x:v>
      </x:c>
      <x:c r="C15" s="90" t="str">
        <x:v>Perfis!D32:D34</x:v>
      </x:c>
      <x:c r="D15" s="90" t="str">
        <x:v>Calcula a soma dos pesos por perfil. Cada um precisa resultar em 100%.</x:v>
      </x:c>
    </x:row>
    <x:row r="16" ht="49" customHeight="1">
      <x:c r="B16" s="90" t="str">
        <x:v>Referencias absolutas</x:v>
      </x:c>
      <x:c r="C16" s="90" t="str">
        <x:v>Projecoes!C11:G15</x:v>
      </x:c>
      <x:c r="D16" s="90" t="str">
        <x:v>O cifrão, como $C$12, mantem fixa a configuracao enquanto a formula muda a linha conforme o prazo.</x:v>
      </x:c>
    </x:row>
    <x:row r="17" ht="49" customHeight="1">
      <x:c r="B17" s="90" t="str">
        <x:v>Validacao de dados</x:v>
      </x:c>
      <x:c r="C17" s="90" t="str">
        <x:v>Configuracoes!C14</x:v>
      </x:c>
      <x:c r="D17" s="90" t="str">
        <x:v>Menu suspenso que permite escolher apenas entre Conservador, Moderado e Arrojado.</x:v>
      </x:c>
    </x:row>
    <x:row r="20" ht="29" customHeight="1">
      <x:c r="B20" s="15" t="str">
        <x:v>ROTEIRO RAPIDO PARA DEMONSTRACAO</x:v>
      </x:c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2">
      <x:c r="B22" t="str">
        <x:v>1. Abra CONFIGURACOES e mostre as celulas amarelas.</x:v>
      </x:c>
    </x:row>
    <x:row r="23">
      <x:c r="B23" t="str">
        <x:v>2. Troque o aporte de 500 para 800 e confira o novo patrimonio.</x:v>
      </x:c>
    </x:row>
    <x:row r="24">
      <x:c r="B24" t="str">
        <x:v>3. Mude o perfil Moderado para Arrojado e veja a distribuicao.</x:v>
      </x:c>
    </x:row>
    <x:row r="25">
      <x:c r="B25" t="str">
        <x:v>4. Mostre que o peso total resulta em 100%.</x:v>
      </x:c>
    </x:row>
    <x:row r="26">
      <x:c r="B26" t="str">
        <x:v>5. Abra PROJECOES e compare 2, 5, 10, 20 e 30 anos.</x:v>
      </x:c>
    </x:row>
    <x:row r="27">
      <x:c r="B27" t="str">
        <x:v>6. Explique VF e PROCV usando o guia ao lado.</x:v>
      </x:c>
    </x:row>
    <x:row r="30" ht="23" customHeight="1">
      <x:c r="B30" s="52" t="str">
        <x:v>INSTRUCOES: planilha educacional. As celulas amarelas de Configuracoes e Perfis permitem explorar os resultados. Guias inferiores sao o meio seguro de navegar neste arquivo, sem macros ou formulas de hiperlink.</x:v>
      </x:c>
      <x:c r="C30" s="52"/>
      <x:c r="D30" s="52"/>
      <x:c r="E30" s="52"/>
      <x:c r="F30" s="52"/>
      <x:c r="G30" s="52"/>
      <x:c r="H30" s="52"/>
      <x:c r="I30" s="52"/>
      <x:c r="J30" s="52"/>
      <x:c r="K30" s="52"/>
    </x:row>
    <x:row r="31" ht="23" customHeight="1"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</x:row>
    <x:row r="32" ht="23" customHeight="1"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</x:row>
  </x:sheetData>
  <x:mergeCells>
    <x:mergeCell ref="B2:L3"/>
    <x:mergeCell ref="B5:L5"/>
    <x:mergeCell ref="B8:K8"/>
    <x:mergeCell ref="B20:K20"/>
    <x:mergeCell ref="B30:K32"/>
  </x:mergeCells>
  <x:pageMargins left="0.7" right="0.7" top="0.75" bottom="0.75" header="0.3" footer="0.3"/>
</x:worksheet>
</file>